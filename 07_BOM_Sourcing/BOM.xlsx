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ing BOM" sheetId="1" r:id="rId1"/>
  </sheets>
  <calcPr calcId="124519" fullCalcOnLoad="1"/>
</workbook>
</file>

<file path=xl/sharedStrings.xml><?xml version="1.0" encoding="utf-8"?>
<sst xmlns="http://schemas.openxmlformats.org/spreadsheetml/2006/main" count="169" uniqueCount="146">
  <si>
    <t>Item</t>
  </si>
  <si>
    <t>Ref Numeral</t>
  </si>
  <si>
    <t>Part ID</t>
  </si>
  <si>
    <t>Description</t>
  </si>
  <si>
    <t>Qty</t>
  </si>
  <si>
    <t>Material / Spec</t>
  </si>
  <si>
    <t>Manufacturing Process</t>
  </si>
  <si>
    <t>Make / Buy</t>
  </si>
  <si>
    <t>Primary Supplier (India)</t>
  </si>
  <si>
    <t>Secondary Supplier (Global)</t>
  </si>
  <si>
    <t>Part Number / SKU</t>
  </si>
  <si>
    <t>Est. Unit Cost (INR)</t>
  </si>
  <si>
    <t>Lead Time (Days)</t>
  </si>
  <si>
    <t>CAD Mass (g)</t>
  </si>
  <si>
    <t>Functional Notes &amp; Standards</t>
  </si>
  <si>
    <t>100</t>
  </si>
  <si>
    <t>PRT-001_Cuff_Base</t>
  </si>
  <si>
    <t>Ergonomic Anatomical Forearm Cuff Chassis</t>
  </si>
  <si>
    <t>Biocompatible PETG (ISO 10993 compliant)</t>
  </si>
  <si>
    <t>FDM / MJF Additive Mfg (100% infill)</t>
  </si>
  <si>
    <t>Make</t>
  </si>
  <si>
    <t>Local Chennai 3D Hub / Robu.in</t>
  </si>
  <si>
    <t>Protolabs / Hubs</t>
  </si>
  <si>
    <t>CUSTOM-PETG-001</t>
  </si>
  <si>
    <t>R35 anatomical curvature; M2/M3 brass heat-set inserts; twin 21x4mm strap slots</t>
  </si>
  <si>
    <t>102</t>
  </si>
  <si>
    <t>PRT-002_Cantilever_Spring</t>
  </si>
  <si>
    <t>Compliant Variable-Stiffness Cantilever Blade</t>
  </si>
  <si>
    <t>C75S / AISI 1095 Spring Steel Strip (48-52 HRC)</t>
  </si>
  <si>
    <t>Precision Wire EDM / Laser Cutting</t>
  </si>
  <si>
    <t>Steel City / Local Guindy Shim Stock</t>
  </si>
  <si>
    <t>Misumi / McMaster-Carr</t>
  </si>
  <si>
    <t>SHIM-C75S-0.40</t>
  </si>
  <si>
    <t>115x12x0.40 mm; polished surface Ra 0.4; deburred edges R0.2; infinite fatigue life SF=2.33</t>
  </si>
  <si>
    <t>104</t>
  </si>
  <si>
    <t>PRT-003_Root_Clamp_Block</t>
  </si>
  <si>
    <t>Fixed Encastre Root Clamping Block</t>
  </si>
  <si>
    <t>Aluminum Alloy 6061-T6 (Black Anodized)</t>
  </si>
  <si>
    <t>CNC 3-Axis Milling</t>
  </si>
  <si>
    <t>Ambattur Industrial Estate CNC Hub</t>
  </si>
  <si>
    <t>Xometry / Misumi</t>
  </si>
  <si>
    <t>CNC-AL-003</t>
  </si>
  <si>
    <t>18x16x7 mm; 2x M3 counterbore; R1.5 mm relief lead-in radius at bottom exiting edge</t>
  </si>
  <si>
    <t>106</t>
  </si>
  <si>
    <t>PRT-004_MGN7_Rail</t>
  </si>
  <si>
    <t>Miniature Linear Guide Rail (80 mm length)</t>
  </si>
  <si>
    <t>High-Carbon Bearing Steel (SUJ2, 58-62 HRC)</t>
  </si>
  <si>
    <t>Precision Ground Linear Motion</t>
  </si>
  <si>
    <t>Buy</t>
  </si>
  <si>
    <t>Robu.in (HIWIN Distributor, Pune/Chennai)</t>
  </si>
  <si>
    <t>HIWIN Global / Misumi</t>
  </si>
  <si>
    <t>MGN7R-80C</t>
  </si>
  <si>
    <t>80x7x4.8 mm; M2 counterbores at 15 mm pitch; 51.5 mm stroke covers 3-8 Hz band</t>
  </si>
  <si>
    <t>108</t>
  </si>
  <si>
    <t>PRT-005_MGN7C_Block</t>
  </si>
  <si>
    <t>Miniature Linear Recirculating Ball Carriage</t>
  </si>
  <si>
    <t>Stainless Steel 440C / Bearing Steel</t>
  </si>
  <si>
    <t>Precision Linear Ball Bearing</t>
  </si>
  <si>
    <t>Robu.in (HIWIN Distributor)</t>
  </si>
  <si>
    <t>MGN7C-1R</t>
  </si>
  <si>
    <t>22.5x17x6.5 mm; 4x M2 tapped mounting holes (8x12 mm spacing); smooth axial glide</t>
  </si>
  <si>
    <t>110</t>
  </si>
  <si>
    <t>PRT-006_Fulcrum_Pinch_Bracket</t>
  </si>
  <si>
    <t>Bifurcated Yoke Fulcrum Pinch Bracket</t>
  </si>
  <si>
    <t>Aluminum Alloy 6061-T6 (Clear Anodized)</t>
  </si>
  <si>
    <t>Ambattur CNC Job Shop, Chennai</t>
  </si>
  <si>
    <t>Xometry / Hubs</t>
  </si>
  <si>
    <t>CNC-AL-006</t>
  </si>
  <si>
    <t>Mounts to MGN7C block; houses upper and lower Ø2.5mm dowel pins with 0.10mm blade clearance</t>
  </si>
  <si>
    <t>112</t>
  </si>
  <si>
    <t>PRT-007_Friction_Drag_Unit</t>
  </si>
  <si>
    <t>Asymmetric Friction Sprag Walking Shoe</t>
  </si>
  <si>
    <t>Brass CZ121 + Phosphor Bronze Leaf</t>
  </si>
  <si>
    <t>CNC Micro-Milling &amp; Spring Stamping</t>
  </si>
  <si>
    <t>Local Chennai Machine Shop</t>
  </si>
  <si>
    <t>CUSTOM-DRAG-007</t>
  </si>
  <si>
    <t>35° inclined sprag geometry; mu_fwd=0.08 vs mu_rev=0.35; dynamic walking rectifier</t>
  </si>
  <si>
    <t>114</t>
  </si>
  <si>
    <t>PRT-008_Distal_Proof_Mass</t>
  </si>
  <si>
    <t>Secondary Tuned Inertia Member Block</t>
  </si>
  <si>
    <t>Precision Extruded Brass CZ121 (8.44 g/cm3)</t>
  </si>
  <si>
    <t>CNC 3-Axis Precision Milling</t>
  </si>
  <si>
    <t>Parrys Corner Brass Suppliers / Ambattur</t>
  </si>
  <si>
    <t>CNC-BRASS-008</t>
  </si>
  <si>
    <t>28x22x19.5 mm; 2x M2.5 tapped; hits m2=96.5±1.0g; underside Ø12.2mm damper pocket</t>
  </si>
  <si>
    <t>116</t>
  </si>
  <si>
    <t>PRT-009_Viscoelastic_Damper</t>
  </si>
  <si>
    <t>Den Hartog Secondary Shear Damper Puck</t>
  </si>
  <si>
    <t>Sorbothane OO-50 (Fallback: Shore A 25 Silicone)</t>
  </si>
  <si>
    <t>Waterjet / Die Punching</t>
  </si>
  <si>
    <t>Polymer Products India / Indiamart</t>
  </si>
  <si>
    <t>Sorbothane Inc. / McMaster</t>
  </si>
  <si>
    <t>SORB-OO50-12X5</t>
  </si>
  <si>
    <t>Ø12.0x5.0 mm; loss factor eta=0.65; sizes secondary damping ratio to optimal zeta=0.168</t>
  </si>
  <si>
    <t>118</t>
  </si>
  <si>
    <t>PRT-010_Protective_Shroud</t>
  </si>
  <si>
    <t>Dust &amp; Impact Safety Shroud with Window</t>
  </si>
  <si>
    <t>Optical Polycarbonate / Clear PETG</t>
  </si>
  <si>
    <t>SLA Optical / Thermoforming</t>
  </si>
  <si>
    <t>Think3D Chennai / Imaginarium</t>
  </si>
  <si>
    <t>Protolabs / Formlabs</t>
  </si>
  <si>
    <t>SHROUD-PC-010</t>
  </si>
  <si>
    <t>142x40x34 mm; 60x5mm calibration window; accommodates 36mm total vertical clearance</t>
  </si>
  <si>
    <t>120</t>
  </si>
  <si>
    <t>STRAP-001</t>
  </si>
  <si>
    <t>Forearm Dual Retention Straps</t>
  </si>
  <si>
    <t>Medical Hook-and-Loop (ISO 10993-5)</t>
  </si>
  <si>
    <t>Textile / Webbing Cut &amp; Ultrasonic Weld</t>
  </si>
  <si>
    <t>Surgiwear India / Amazon.in Medical</t>
  </si>
  <si>
    <t>Velcro USA / 3M Medical</t>
  </si>
  <si>
    <t>MED-VEL-20X250</t>
  </si>
  <si>
    <t>20mm width x 250mm length; breathable skin-contact backing; secure dorsal attachment</t>
  </si>
  <si>
    <t>124</t>
  </si>
  <si>
    <t>PIN-001_Dowel_Pins</t>
  </si>
  <si>
    <t>Precision Ground Fulcrum Pinch Dowel Pins</t>
  </si>
  <si>
    <t>Hardened Tool Steel (ISO 8734 h6, 60 HRC)</t>
  </si>
  <si>
    <t>Precision Centerless Ground</t>
  </si>
  <si>
    <t>Fasteners India / Local Guindy</t>
  </si>
  <si>
    <t>PIN-ISO8734-2.5X14</t>
  </si>
  <si>
    <t>Ø2.5 h6 x 14.0 mm length; low-friction rolling contact; defined fulcrum node</t>
  </si>
  <si>
    <t>128</t>
  </si>
  <si>
    <t>SCR-M3-SHCS</t>
  </si>
  <si>
    <t>Root Clamp Encastre Fasteners</t>
  </si>
  <si>
    <t>Stainless Steel A2-70 (ISO 4762)</t>
  </si>
  <si>
    <t>Cold Forged Socket Head Cap Screw</t>
  </si>
  <si>
    <t>TVS Fasteners / Local Industrial Hardware</t>
  </si>
  <si>
    <t>McMaster-Carr</t>
  </si>
  <si>
    <t>M3X12-ISO4762</t>
  </si>
  <si>
    <t>M3 x 12 mm; 1.5d thread engagement into brass inserts in base</t>
  </si>
  <si>
    <t>130</t>
  </si>
  <si>
    <t>SCR-M2.5-CSK</t>
  </si>
  <si>
    <t>Distal Proof Mass Retention Screws</t>
  </si>
  <si>
    <t>Stainless Steel A2-70 (ISO 10642)</t>
  </si>
  <si>
    <t>Countersunk Flat Head Screws</t>
  </si>
  <si>
    <t>M2.5X8-ISO10642</t>
  </si>
  <si>
    <t>M2.5 x 8 mm countersunk; flush mounting to top face of spring blade</t>
  </si>
  <si>
    <t>FAST-M2</t>
  </si>
  <si>
    <t>SCR-M2-RAIL</t>
  </si>
  <si>
    <t>MGN7 Rail &amp; Carriage Fasteners</t>
  </si>
  <si>
    <t>Hex Socket Head Cap Screws</t>
  </si>
  <si>
    <t>M2X6-ISO4762</t>
  </si>
  <si>
    <t>M2 x 6 mm; 5 for rail mounting to base, 4 for bracket mounting to MGN7C block</t>
  </si>
  <si>
    <t>TOTALS</t>
  </si>
  <si>
    <t>Total Prototype Cost &amp; Device Mass</t>
  </si>
  <si>
    <t>Max Lead: 5 Days</t>
  </si>
  <si>
    <t>Device Mass: 244.2 g (Budget: 50-300g PASS) | Cost: ₹5,310 (~$64 USD)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</si>
</sst>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cols>
    <col min="1" max="1" width="6.7109375" customWidth="1"/>
    <col min="2" max="2" width="12.7109375" customWidth="1"/>
    <col min="3" max="3" width="28.7109375" customWidth="1"/>
    <col min="4" max="4" width="38.7109375" customWidth="1"/>
    <col min="5" max="5" width="6.7109375" customWidth="1"/>
    <col min="6" max="6" width="28.7109375" customWidth="1"/>
    <col min="7" max="7" width="25.7109375" customWidth="1"/>
    <col min="8" max="8" width="12.7109375" customWidth="1"/>
    <col min="9" max="9" width="28.7109375" customWidth="1"/>
    <col min="10" max="10" width="25.7109375" customWidth="1"/>
    <col min="11" max="11" width="20.7109375" customWidth="1"/>
    <col min="12" max="12" width="18.7109375" customWidth="1"/>
    <col min="13" max="13" width="15.7109375" customWidth="1"/>
    <col min="14" max="14" width="14.7109375" customWidth="1"/>
    <col min="15" max="15" width="45.710937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" customHeight="1">
      <c r="A2" s="2">
        <v>1</v>
      </c>
      <c r="B2" s="3" t="s">
        <v>15</v>
      </c>
      <c r="C2" s="3" t="s">
        <v>16</v>
      </c>
      <c r="D2" s="3" t="s">
        <v>17</v>
      </c>
      <c r="E2" s="2">
        <v>1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4">
        <v>650</v>
      </c>
      <c r="M2" s="2">
        <v>3</v>
      </c>
      <c r="N2" s="5">
        <v>35.12</v>
      </c>
      <c r="O2" s="3" t="s">
        <v>24</v>
      </c>
    </row>
    <row r="3" spans="1:15" ht="22" customHeight="1">
      <c r="A3" s="2">
        <v>2</v>
      </c>
      <c r="B3" s="3" t="s">
        <v>25</v>
      </c>
      <c r="C3" s="3" t="s">
        <v>26</v>
      </c>
      <c r="D3" s="3" t="s">
        <v>27</v>
      </c>
      <c r="E3" s="2">
        <v>1</v>
      </c>
      <c r="F3" s="3" t="s">
        <v>28</v>
      </c>
      <c r="G3" s="3" t="s">
        <v>29</v>
      </c>
      <c r="H3" s="3" t="s">
        <v>20</v>
      </c>
      <c r="I3" s="3" t="s">
        <v>30</v>
      </c>
      <c r="J3" s="3" t="s">
        <v>31</v>
      </c>
      <c r="K3" s="3" t="s">
        <v>32</v>
      </c>
      <c r="L3" s="4">
        <v>250</v>
      </c>
      <c r="M3" s="2">
        <v>4</v>
      </c>
      <c r="N3" s="5">
        <v>4.25</v>
      </c>
      <c r="O3" s="3" t="s">
        <v>33</v>
      </c>
    </row>
    <row r="4" spans="1:15" ht="22" customHeight="1">
      <c r="A4" s="2">
        <v>3</v>
      </c>
      <c r="B4" s="3" t="s">
        <v>34</v>
      </c>
      <c r="C4" s="3" t="s">
        <v>35</v>
      </c>
      <c r="D4" s="3" t="s">
        <v>36</v>
      </c>
      <c r="E4" s="2">
        <v>1</v>
      </c>
      <c r="F4" s="3" t="s">
        <v>37</v>
      </c>
      <c r="G4" s="3" t="s">
        <v>38</v>
      </c>
      <c r="H4" s="3" t="s">
        <v>20</v>
      </c>
      <c r="I4" s="3" t="s">
        <v>39</v>
      </c>
      <c r="J4" s="3" t="s">
        <v>40</v>
      </c>
      <c r="K4" s="3" t="s">
        <v>41</v>
      </c>
      <c r="L4" s="4">
        <v>450</v>
      </c>
      <c r="M4" s="2">
        <v>5</v>
      </c>
      <c r="N4" s="5">
        <v>4.74</v>
      </c>
      <c r="O4" s="3" t="s">
        <v>42</v>
      </c>
    </row>
    <row r="5" spans="1:15" ht="22" customHeight="1">
      <c r="A5" s="2">
        <v>4</v>
      </c>
      <c r="B5" s="3" t="s">
        <v>43</v>
      </c>
      <c r="C5" s="3" t="s">
        <v>44</v>
      </c>
      <c r="D5" s="3" t="s">
        <v>45</v>
      </c>
      <c r="E5" s="2">
        <v>1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4">
        <v>1150</v>
      </c>
      <c r="M5" s="2">
        <v>2</v>
      </c>
      <c r="N5" s="5">
        <v>19.26</v>
      </c>
      <c r="O5" s="3" t="s">
        <v>52</v>
      </c>
    </row>
    <row r="6" spans="1:15" ht="22" customHeight="1">
      <c r="A6" s="2">
        <v>5</v>
      </c>
      <c r="B6" s="3" t="s">
        <v>53</v>
      </c>
      <c r="C6" s="3" t="s">
        <v>54</v>
      </c>
      <c r="D6" s="3" t="s">
        <v>55</v>
      </c>
      <c r="E6" s="2">
        <v>1</v>
      </c>
      <c r="F6" s="3" t="s">
        <v>56</v>
      </c>
      <c r="G6" s="3" t="s">
        <v>57</v>
      </c>
      <c r="H6" s="3" t="s">
        <v>48</v>
      </c>
      <c r="I6" s="3" t="s">
        <v>58</v>
      </c>
      <c r="J6" s="3" t="s">
        <v>50</v>
      </c>
      <c r="K6" s="3" t="s">
        <v>59</v>
      </c>
      <c r="L6" s="4">
        <v>850</v>
      </c>
      <c r="M6" s="2">
        <v>2</v>
      </c>
      <c r="N6" s="5">
        <v>14.43</v>
      </c>
      <c r="O6" s="3" t="s">
        <v>60</v>
      </c>
    </row>
    <row r="7" spans="1:15" ht="22" customHeight="1">
      <c r="A7" s="2">
        <v>6</v>
      </c>
      <c r="B7" s="3" t="s">
        <v>61</v>
      </c>
      <c r="C7" s="3" t="s">
        <v>62</v>
      </c>
      <c r="D7" s="3" t="s">
        <v>63</v>
      </c>
      <c r="E7" s="2">
        <v>1</v>
      </c>
      <c r="F7" s="3" t="s">
        <v>64</v>
      </c>
      <c r="G7" s="3" t="s">
        <v>38</v>
      </c>
      <c r="H7" s="3" t="s">
        <v>20</v>
      </c>
      <c r="I7" s="3" t="s">
        <v>65</v>
      </c>
      <c r="J7" s="3" t="s">
        <v>66</v>
      </c>
      <c r="K7" s="3" t="s">
        <v>67</v>
      </c>
      <c r="L7" s="4">
        <v>550</v>
      </c>
      <c r="M7" s="2">
        <v>5</v>
      </c>
      <c r="N7" s="5">
        <v>6.62</v>
      </c>
      <c r="O7" s="3" t="s">
        <v>68</v>
      </c>
    </row>
    <row r="8" spans="1:15" ht="22" customHeight="1">
      <c r="A8" s="2">
        <v>7</v>
      </c>
      <c r="B8" s="3" t="s">
        <v>69</v>
      </c>
      <c r="C8" s="3" t="s">
        <v>70</v>
      </c>
      <c r="D8" s="3" t="s">
        <v>71</v>
      </c>
      <c r="E8" s="2">
        <v>1</v>
      </c>
      <c r="F8" s="3" t="s">
        <v>72</v>
      </c>
      <c r="G8" s="3" t="s">
        <v>73</v>
      </c>
      <c r="H8" s="3" t="s">
        <v>20</v>
      </c>
      <c r="I8" s="3" t="s">
        <v>74</v>
      </c>
      <c r="J8" s="3" t="s">
        <v>31</v>
      </c>
      <c r="K8" s="3" t="s">
        <v>75</v>
      </c>
      <c r="L8" s="4">
        <v>350</v>
      </c>
      <c r="M8" s="2">
        <v>4</v>
      </c>
      <c r="N8" s="5">
        <v>4.13</v>
      </c>
      <c r="O8" s="3" t="s">
        <v>76</v>
      </c>
    </row>
    <row r="9" spans="1:15" ht="22" customHeight="1">
      <c r="A9" s="2">
        <v>8</v>
      </c>
      <c r="B9" s="3" t="s">
        <v>77</v>
      </c>
      <c r="C9" s="3" t="s">
        <v>78</v>
      </c>
      <c r="D9" s="3" t="s">
        <v>79</v>
      </c>
      <c r="E9" s="2">
        <v>1</v>
      </c>
      <c r="F9" s="3" t="s">
        <v>80</v>
      </c>
      <c r="G9" s="3" t="s">
        <v>81</v>
      </c>
      <c r="H9" s="3" t="s">
        <v>20</v>
      </c>
      <c r="I9" s="3" t="s">
        <v>82</v>
      </c>
      <c r="J9" s="3" t="s">
        <v>31</v>
      </c>
      <c r="K9" s="3" t="s">
        <v>83</v>
      </c>
      <c r="L9" s="4">
        <v>750</v>
      </c>
      <c r="M9" s="2">
        <v>4</v>
      </c>
      <c r="N9" s="5">
        <v>97.72</v>
      </c>
      <c r="O9" s="3" t="s">
        <v>84</v>
      </c>
    </row>
    <row r="10" spans="1:15" ht="22" customHeight="1">
      <c r="A10" s="2">
        <v>9</v>
      </c>
      <c r="B10" s="3" t="s">
        <v>85</v>
      </c>
      <c r="C10" s="3" t="s">
        <v>86</v>
      </c>
      <c r="D10" s="3" t="s">
        <v>87</v>
      </c>
      <c r="E10" s="2">
        <v>1</v>
      </c>
      <c r="F10" s="3" t="s">
        <v>88</v>
      </c>
      <c r="G10" s="3" t="s">
        <v>89</v>
      </c>
      <c r="H10" s="3" t="s">
        <v>48</v>
      </c>
      <c r="I10" s="3" t="s">
        <v>90</v>
      </c>
      <c r="J10" s="3" t="s">
        <v>91</v>
      </c>
      <c r="K10" s="3" t="s">
        <v>92</v>
      </c>
      <c r="L10" s="4">
        <v>380</v>
      </c>
      <c r="M10" s="2">
        <v>5</v>
      </c>
      <c r="N10" s="5">
        <v>0.74</v>
      </c>
      <c r="O10" s="3" t="s">
        <v>93</v>
      </c>
    </row>
    <row r="11" spans="1:15" ht="22" customHeight="1">
      <c r="A11" s="2">
        <v>10</v>
      </c>
      <c r="B11" s="3" t="s">
        <v>94</v>
      </c>
      <c r="C11" s="3" t="s">
        <v>95</v>
      </c>
      <c r="D11" s="3" t="s">
        <v>96</v>
      </c>
      <c r="E11" s="2">
        <v>1</v>
      </c>
      <c r="F11" s="3" t="s">
        <v>97</v>
      </c>
      <c r="G11" s="3" t="s">
        <v>98</v>
      </c>
      <c r="H11" s="3" t="s">
        <v>20</v>
      </c>
      <c r="I11" s="3" t="s">
        <v>99</v>
      </c>
      <c r="J11" s="3" t="s">
        <v>100</v>
      </c>
      <c r="K11" s="3" t="s">
        <v>101</v>
      </c>
      <c r="L11" s="4">
        <v>700</v>
      </c>
      <c r="M11" s="2">
        <v>3</v>
      </c>
      <c r="N11" s="5">
        <v>45.65</v>
      </c>
      <c r="O11" s="3" t="s">
        <v>102</v>
      </c>
    </row>
    <row r="12" spans="1:15" ht="22" customHeight="1">
      <c r="A12" s="2">
        <v>11</v>
      </c>
      <c r="B12" s="3" t="s">
        <v>103</v>
      </c>
      <c r="C12" s="3" t="s">
        <v>104</v>
      </c>
      <c r="D12" s="3" t="s">
        <v>105</v>
      </c>
      <c r="E12" s="2">
        <v>2</v>
      </c>
      <c r="F12" s="3" t="s">
        <v>106</v>
      </c>
      <c r="G12" s="3" t="s">
        <v>107</v>
      </c>
      <c r="H12" s="3" t="s">
        <v>48</v>
      </c>
      <c r="I12" s="3" t="s">
        <v>108</v>
      </c>
      <c r="J12" s="3" t="s">
        <v>109</v>
      </c>
      <c r="K12" s="3" t="s">
        <v>110</v>
      </c>
      <c r="L12" s="4">
        <v>120</v>
      </c>
      <c r="M12" s="2">
        <v>1</v>
      </c>
      <c r="N12" s="5">
        <v>6</v>
      </c>
      <c r="O12" s="3" t="s">
        <v>111</v>
      </c>
    </row>
    <row r="13" spans="1:15" ht="22" customHeight="1">
      <c r="A13" s="2">
        <v>12</v>
      </c>
      <c r="B13" s="3" t="s">
        <v>112</v>
      </c>
      <c r="C13" s="3" t="s">
        <v>113</v>
      </c>
      <c r="D13" s="3" t="s">
        <v>114</v>
      </c>
      <c r="E13" s="2">
        <v>2</v>
      </c>
      <c r="F13" s="3" t="s">
        <v>115</v>
      </c>
      <c r="G13" s="3" t="s">
        <v>116</v>
      </c>
      <c r="H13" s="3" t="s">
        <v>48</v>
      </c>
      <c r="I13" s="3" t="s">
        <v>117</v>
      </c>
      <c r="J13" s="3" t="s">
        <v>31</v>
      </c>
      <c r="K13" s="3" t="s">
        <v>118</v>
      </c>
      <c r="L13" s="4">
        <v>40</v>
      </c>
      <c r="M13" s="2">
        <v>1</v>
      </c>
      <c r="N13" s="5">
        <v>1.08</v>
      </c>
      <c r="O13" s="3" t="s">
        <v>119</v>
      </c>
    </row>
    <row r="14" spans="1:15" ht="22" customHeight="1">
      <c r="A14" s="2">
        <v>13</v>
      </c>
      <c r="B14" s="3" t="s">
        <v>120</v>
      </c>
      <c r="C14" s="3" t="s">
        <v>121</v>
      </c>
      <c r="D14" s="3" t="s">
        <v>122</v>
      </c>
      <c r="E14" s="2">
        <v>2</v>
      </c>
      <c r="F14" s="3" t="s">
        <v>123</v>
      </c>
      <c r="G14" s="3" t="s">
        <v>124</v>
      </c>
      <c r="H14" s="3" t="s">
        <v>48</v>
      </c>
      <c r="I14" s="3" t="s">
        <v>125</v>
      </c>
      <c r="J14" s="3" t="s">
        <v>126</v>
      </c>
      <c r="K14" s="3" t="s">
        <v>127</v>
      </c>
      <c r="L14" s="4">
        <v>15</v>
      </c>
      <c r="M14" s="2">
        <v>1</v>
      </c>
      <c r="N14" s="5">
        <v>2.2</v>
      </c>
      <c r="O14" s="3" t="s">
        <v>128</v>
      </c>
    </row>
    <row r="15" spans="1:15" ht="22" customHeight="1">
      <c r="A15" s="2">
        <v>14</v>
      </c>
      <c r="B15" s="3" t="s">
        <v>129</v>
      </c>
      <c r="C15" s="3" t="s">
        <v>130</v>
      </c>
      <c r="D15" s="3" t="s">
        <v>131</v>
      </c>
      <c r="E15" s="2">
        <v>2</v>
      </c>
      <c r="F15" s="3" t="s">
        <v>132</v>
      </c>
      <c r="G15" s="3" t="s">
        <v>133</v>
      </c>
      <c r="H15" s="3" t="s">
        <v>48</v>
      </c>
      <c r="I15" s="3" t="s">
        <v>125</v>
      </c>
      <c r="J15" s="3" t="s">
        <v>126</v>
      </c>
      <c r="K15" s="3" t="s">
        <v>134</v>
      </c>
      <c r="L15" s="4">
        <v>15</v>
      </c>
      <c r="M15" s="2">
        <v>1</v>
      </c>
      <c r="N15" s="5">
        <v>1.1</v>
      </c>
      <c r="O15" s="3" t="s">
        <v>135</v>
      </c>
    </row>
    <row r="16" spans="1:15" ht="22" customHeight="1">
      <c r="A16" s="2">
        <v>15</v>
      </c>
      <c r="B16" s="3" t="s">
        <v>136</v>
      </c>
      <c r="C16" s="3" t="s">
        <v>137</v>
      </c>
      <c r="D16" s="3" t="s">
        <v>138</v>
      </c>
      <c r="E16" s="2">
        <v>9</v>
      </c>
      <c r="F16" s="3" t="s">
        <v>123</v>
      </c>
      <c r="G16" s="3" t="s">
        <v>139</v>
      </c>
      <c r="H16" s="3" t="s">
        <v>48</v>
      </c>
      <c r="I16" s="3" t="s">
        <v>125</v>
      </c>
      <c r="J16" s="3" t="s">
        <v>126</v>
      </c>
      <c r="K16" s="3" t="s">
        <v>140</v>
      </c>
      <c r="L16" s="4">
        <v>30</v>
      </c>
      <c r="M16" s="2">
        <v>1</v>
      </c>
      <c r="N16" s="5">
        <v>1.2</v>
      </c>
      <c r="O16" s="3" t="s">
        <v>141</v>
      </c>
    </row>
    <row r="17" spans="1:15" ht="24" customHeight="1">
      <c r="A17" s="6"/>
      <c r="B17" s="6"/>
      <c r="C17" s="6" t="s">
        <v>142</v>
      </c>
      <c r="D17" s="6" t="s">
        <v>143</v>
      </c>
      <c r="E17" s="6">
        <v>27</v>
      </c>
      <c r="F17" s="6"/>
      <c r="G17" s="6"/>
      <c r="H17" s="6"/>
      <c r="I17" s="6"/>
      <c r="J17" s="6"/>
      <c r="K17" s="6"/>
      <c r="L17" s="7">
        <f>SUM(L2:L16)</f>
        <v>0</v>
      </c>
      <c r="M17" s="6" t="s">
        <v>144</v>
      </c>
      <c r="N17" s="8">
        <f>SUM(N2:N16)</f>
        <v>0</v>
      </c>
      <c r="O17" s="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2026-10-18T03:01:02Z</dcterms:created>
  <dcterms:modified xsi:type="dcterms:W3CDTF">2026-10-18T03:01:02Z</dcterms:modified>
</cp:coreProperties>
</file>